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القران الكريم\تحريرات البدل عند ورش\جمع عاصم ونافع\مصاحف\2023\2024\أصول القراء العشرة\مصاحف 2024-2025\كاملة\مصاحف الأصول\مصاحف بخطي\MassahifAlossol\v2-main\Maktouba\Data\qiraat\"/>
    </mc:Choice>
  </mc:AlternateContent>
  <bookViews>
    <workbookView xWindow="2970" yWindow="0" windowWidth="27795" windowHeight="125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8" i="1"/>
  <c r="H3" i="1"/>
  <c r="H4" i="1"/>
  <c r="H2" i="1"/>
  <c r="H1" i="1"/>
</calcChain>
</file>

<file path=xl/sharedStrings.xml><?xml version="1.0" encoding="utf-8"?>
<sst xmlns="http://schemas.openxmlformats.org/spreadsheetml/2006/main" count="47" uniqueCount="33">
  <si>
    <t>الصفحة</t>
  </si>
  <si>
    <t>الكلمة الأصلية</t>
  </si>
  <si>
    <t>البديل 1</t>
  </si>
  <si>
    <t>البديل 2</t>
  </si>
  <si>
    <t>البديل 3</t>
  </si>
  <si>
    <t>البديل 4</t>
  </si>
  <si>
    <t>ٱلتَّوۡرَىٰةَ</t>
  </si>
  <si>
    <t>الاية</t>
  </si>
  <si>
    <t xml:space="preserve"> &lt;span class='c1'&gt;مَ&lt;/span&gt;لِــكِ</t>
  </si>
  <si>
    <t>ٱلۡمَلَ&lt;span class='c7'&gt;أُ&lt;/span&gt;&lt;span class='c1'&gt; &lt;/span&gt;&lt;span class='c7'&gt;اَؙ&lt;/span&gt;فۡتُونِي</t>
  </si>
  <si>
    <t xml:space="preserve"> &lt;span class='c1'&gt;مَٰ&lt;/span&gt;لِــكِ</t>
  </si>
  <si>
    <t>ٱلتَّوۡ&lt;span class='c4'&gt;ر۫ىٰ&lt;/span&gt;ةَ</t>
  </si>
  <si>
    <t>ٱلۡمَلَ&lt;span class='c7'&gt;أُ&lt;/span&gt;&lt;span class='c1'&gt; &lt;/span&gt;&lt;span class='c7'&gt;ا۬&lt;/span&gt;فۡتُونِي</t>
  </si>
  <si>
    <t xml:space="preserve">    "3":{"3":[{"word":"ٱلتَّوۡرَىٰةَ","alternatives":["ٱلتَّوۡ&lt;span class='c4'&gt;ر۫ىٰ&lt;/span&gt;ةَ"]}]},</t>
  </si>
  <si>
    <t xml:space="preserve">    "12":{"43":[{"word":"ٱلۡمَلَ&lt;span class='c7'&gt;أُ&lt;/span&gt;&lt;span class='c1'&gt; &lt;/span&gt;&lt;span class='c7'&gt;اَؙ&lt;/span&gt;فۡتُونِي","alternatives":["ٱلۡمَلَ&lt;span class='c7'&gt;أُ&lt;/span&gt;&lt;span class='c1'&gt; &lt;/span&gt;&lt;span class='c7'&gt;ا۬&lt;/span&gt;فۡتُونِي"]}]},</t>
  </si>
  <si>
    <t xml:space="preserve">    "1":{"4":[{"word":"&lt;span class='c1'&gt;مَ&lt;/span&gt;لِــكِ","alternatives":["&lt;span class='c1'&gt;مَٰ&lt;/span&gt;لِــكِ"]}]}</t>
  </si>
  <si>
    <t>ٱلتَّوۡ&lt;span class='c4'&gt;رَىٰ&lt;/span&gt;ةَ</t>
  </si>
  <si>
    <t>ٱلۡمَلَ&lt;span class='c25'&gt;أُ اَؙ&lt;/span&gt;فۡتُونِي</t>
  </si>
  <si>
    <t>"{"&amp;""""&amp;A2&amp;"""":{"&amp;""""&amp;B2&amp;"""":{"&amp;"""word"":"""&amp;C2&amp;""","&amp;"""alt"":"""&amp;D2&amp;SI(E2="";"";CONCATENER(" + ";E2))&amp;SI(F2="";"";CONCATENER(" + ";F2))&amp;SI(G2="";"";CONCATENER(" + ";G2))&amp;"""}}"</t>
  </si>
  <si>
    <t>{"1":{"4":{"word":"مَلِــكِ","alt":"مَٰلِــكِ"}},</t>
  </si>
  <si>
    <t xml:space="preserve">    "1":{"4":{"word":" مَلِــكِ","alt":" &lt;span class='c1'&gt;مَ&lt;/span&gt;لِــكِ"}},</t>
  </si>
  <si>
    <t>"    "&amp;""""&amp;A2&amp;""":{"""&amp;B2&amp;""":{""word"":"""&amp;C2&amp;""",""alt"":"""&amp;D2&amp;SI(E2="";"";CONCATENER(" + ";E2))&amp;SI(F2="";"";CONCATENER(" + ";F2))&amp;SI(G2="";"";CONCATENER(" + ";G2))&amp;"""}},"</t>
  </si>
  <si>
    <t xml:space="preserve">    "50":{"3":{"word":"ٱلتَّوۡرَىٰةَ","alt":"ٱلتَّوۡ&lt;span class='c4'&gt;ر۫ىٰ&lt;/span&gt;ةَ + ٱلتَّوۡرَىٰةَ"}},</t>
  </si>
  <si>
    <t xml:space="preserve">    "50":{"7":{"word":"ٱلتَّوۡرَىٰةَ","alt":"ٱلتَّوۡ&lt;span class='c4'&gt;ر۫ىٰ&lt;/span&gt;ةَ + ٱلتَّوۡرَىٰةَ"}},</t>
  </si>
  <si>
    <t xml:space="preserve">    "240":{"43":{"word":"ٱلۡمَلَأُ اَؙفۡتُونِي","alt":"ٱلۡمَلَ&lt;span class='c7'&gt;أُ&lt;/span&gt;&lt;span class='c1'&gt; &lt;/span&gt;&lt;span class='c7'&gt;ا۬&lt;/span&gt;فۡتُونِي"}},</t>
  </si>
  <si>
    <r>
      <t xml:space="preserve"> </t>
    </r>
    <r>
      <rPr>
        <sz val="16"/>
        <color rgb="FFFF0000"/>
        <rFont val="NouariAbdelkabir"/>
      </rPr>
      <t>مَ</t>
    </r>
    <r>
      <rPr>
        <sz val="16"/>
        <color theme="1"/>
        <rFont val="NouariAbdelkabir"/>
      </rPr>
      <t>لِــكِ</t>
    </r>
  </si>
  <si>
    <r>
      <rPr>
        <sz val="16"/>
        <color theme="1"/>
        <rFont val="NouariAbdelkabir"/>
      </rPr>
      <t>ٱلۡمَلَ</t>
    </r>
    <r>
      <rPr>
        <sz val="16"/>
        <color rgb="FF00B0F0"/>
        <rFont val="NouariAbdelkabir"/>
      </rPr>
      <t>أُ</t>
    </r>
    <r>
      <rPr>
        <sz val="16"/>
        <color rgb="FFFF0000"/>
        <rFont val="NouariAbdelkabir"/>
      </rPr>
      <t xml:space="preserve"> </t>
    </r>
    <r>
      <rPr>
        <sz val="16"/>
        <color rgb="FF00B0F0"/>
        <rFont val="NouariAbdelkabir"/>
      </rPr>
      <t>اَؙ</t>
    </r>
    <r>
      <rPr>
        <sz val="16"/>
        <color theme="1"/>
        <rFont val="NouariAbdelkabir"/>
      </rPr>
      <t>فۡتُونِي</t>
    </r>
  </si>
  <si>
    <r>
      <t>C2 = </t>
    </r>
    <r>
      <rPr>
        <sz val="9.6"/>
        <color rgb="FF0F1115"/>
        <rFont val="NouariAbdelkabir"/>
      </rPr>
      <t>&lt;span class='c1'&gt;مَ&lt;/span&gt;لِــكِ</t>
    </r>
  </si>
  <si>
    <r>
      <t>ٱلتَّوۡ</t>
    </r>
    <r>
      <rPr>
        <sz val="16"/>
        <color rgb="FFFFC000"/>
        <rFont val="NouariAbdelkabir"/>
      </rPr>
      <t>ر۫ىٰ</t>
    </r>
    <r>
      <rPr>
        <sz val="16"/>
        <color theme="1"/>
        <rFont val="NouariAbdelkabir"/>
      </rPr>
      <t>ةَ</t>
    </r>
  </si>
  <si>
    <r>
      <rPr>
        <sz val="16"/>
        <color theme="1"/>
        <rFont val="NouariAbdelkabir"/>
      </rPr>
      <t>ٱلۡمَلَ</t>
    </r>
    <r>
      <rPr>
        <sz val="16"/>
        <color rgb="FF00B0F0"/>
        <rFont val="NouariAbdelkabir"/>
      </rPr>
      <t>أُ</t>
    </r>
    <r>
      <rPr>
        <sz val="16"/>
        <color rgb="FFFF0000"/>
        <rFont val="NouariAbdelkabir"/>
      </rPr>
      <t xml:space="preserve"> </t>
    </r>
    <r>
      <rPr>
        <sz val="16"/>
        <color rgb="FF00B0F0"/>
        <rFont val="NouariAbdelkabir"/>
      </rPr>
      <t>ا۬</t>
    </r>
    <r>
      <rPr>
        <sz val="16"/>
        <color theme="1"/>
        <rFont val="NouariAbdelkabir"/>
      </rPr>
      <t>فۡتُونِي</t>
    </r>
  </si>
  <si>
    <r>
      <t>A2 = </t>
    </r>
    <r>
      <rPr>
        <sz val="9.6"/>
        <color rgb="FF0F1115"/>
        <rFont val="NouariAbdelkabir"/>
      </rPr>
      <t>1</t>
    </r>
  </si>
  <si>
    <r>
      <t>B2 = </t>
    </r>
    <r>
      <rPr>
        <sz val="9.6"/>
        <color rgb="FF0F1115"/>
        <rFont val="NouariAbdelkabir"/>
      </rPr>
      <t>4</t>
    </r>
  </si>
  <si>
    <r>
      <t>D2 = </t>
    </r>
    <r>
      <rPr>
        <sz val="9.6"/>
        <color rgb="FF0F1115"/>
        <rFont val="NouariAbdelkabir"/>
      </rPr>
      <t>&lt;span class='c1'&gt;مَٰ&lt;/span&gt;لِــكِ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</si>
</sst>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6"/>
      <color theme="1"/>
      <name val="NouariAbdelkabir"/>
    </font>
    <font>
      <sz val="16"/>
      <name val="NouariAbdelkabir"/>
    </font>
    <font>
      <sz val="16"/>
      <color rgb="FFFF0000"/>
      <name val="NouariAbdelkabir"/>
    </font>
    <font>
      <sz val="12"/>
      <name val="NouariAbdelkabir"/>
    </font>
    <font>
      <sz val="16"/>
      <color rgb="FF00B0F0"/>
      <name val="NouariAbdelkabir"/>
    </font>
    <font>
      <sz val="18"/>
      <name val="NouariAbdelkabir"/>
    </font>
    <font>
      <b/>
      <sz val="16"/>
      <color rgb="FF00B0F0"/>
      <name val="NouariAbdelkabir"/>
    </font>
    <font>
      <sz val="12"/>
      <color rgb="FF0F1115"/>
      <name val="NouariAbdelkabir"/>
    </font>
    <font>
      <sz val="9.6"/>
      <color rgb="FF0F1115"/>
      <name val="NouariAbdelkabir"/>
    </font>
    <font>
      <sz val="16"/>
      <color rgb="FFFFC000"/>
      <name val="NouariAbdelkabir"/>
    </font>
    <font>
      <sz val="12"/>
      <color theme="1"/>
      <name val="NouariAbdelkabi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2" fillId="0" borderId="3" xfId="0" applyFont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top" wrapText="1" readingOrder="2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vertical="center" wrapText="1" readingOrder="2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K20"/>
  <sheetViews>
    <sheetView rightToLeft="1" tabSelected="1" zoomScale="70" zoomScaleNormal="70" workbookViewId="0">
      <selection sqref="A1:XFD1048576"/>
    </sheetView>
  </sheetViews>
  <sheetFormatPr baseColWidth="10" defaultRowHeight="31.5" x14ac:dyDescent="0.85"/>
  <cols>
    <col min="1" max="2" width="11" style="3" customWidth="1"/>
    <col min="3" max="3" width="23.140625" style="3" customWidth="1"/>
    <col min="4" max="7" width="18.5703125" style="3" customWidth="1"/>
    <col min="8" max="8" width="76.42578125" style="3" customWidth="1"/>
    <col min="9" max="9" width="36.5703125" style="3" customWidth="1"/>
    <col min="10" max="16384" width="11.42578125" style="3"/>
  </cols>
  <sheetData>
    <row r="1" spans="1:11" ht="32.25" thickBot="1" x14ac:dyDescent="0.9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tr">
        <f t="shared" ref="H1" si="0">"    "&amp;""""&amp;A1&amp;""":{"""&amp;B1&amp;""":[{""word"":"""&amp;C1&amp;""",""alt"":["""&amp;D1&amp;"""]}]},"</f>
        <v xml:space="preserve">    "الصفحة":{"الاية":[{"word":"الكلمة الأصلية","alt":["البديل 1"]}]},</v>
      </c>
      <c r="I1" s="3" t="s">
        <v>21</v>
      </c>
    </row>
    <row r="2" spans="1:11" ht="95.25" thickBot="1" x14ac:dyDescent="0.9">
      <c r="A2" s="4">
        <v>1</v>
      </c>
      <c r="B2" s="5">
        <v>4</v>
      </c>
      <c r="C2" s="6" t="s">
        <v>25</v>
      </c>
      <c r="D2" s="7" t="s">
        <v>8</v>
      </c>
      <c r="E2" s="7"/>
      <c r="F2" s="2"/>
      <c r="G2" s="2"/>
      <c r="H2" s="1" t="str">
        <f>"    "&amp;""""&amp;A2&amp;""":{"""&amp;B2&amp;""":{""word"":"""&amp;C2&amp;""",""alt"":"""&amp;D2&amp;IF(E2="","",CONCATENATE(" + ",E2))&amp;IF(F2="","",CONCATENATE(" + ",F2))&amp;IF(G2="","",CONCATENATE(" + ",G2))&amp;"""}},"</f>
        <v xml:space="preserve">    "1":{"4":{"word":" مَلِــكِ","alt":" &lt;span class='c1'&gt;مَ&lt;/span&gt;لِــكِ"}},</v>
      </c>
      <c r="I2" s="8" t="s">
        <v>20</v>
      </c>
      <c r="J2" s="3" t="s">
        <v>15</v>
      </c>
    </row>
    <row r="3" spans="1:11" ht="158.25" thickBot="1" x14ac:dyDescent="0.9">
      <c r="A3" s="1">
        <v>50</v>
      </c>
      <c r="B3" s="1">
        <v>3</v>
      </c>
      <c r="C3" s="9" t="s">
        <v>6</v>
      </c>
      <c r="D3" s="7" t="s">
        <v>11</v>
      </c>
      <c r="E3" s="9" t="s">
        <v>6</v>
      </c>
      <c r="F3" s="2"/>
      <c r="G3" s="2"/>
      <c r="H3" s="1" t="str">
        <f t="shared" ref="H3:H4" si="1">"    "&amp;""""&amp;A3&amp;""":{"""&amp;B3&amp;""":{""word"":"""&amp;C3&amp;""",""alt"":"""&amp;D3&amp;IF(E3="","",CONCATENATE(" + ",E3))&amp;IF(F3="","",CONCATENATE(" + ",F3))&amp;IF(G3="","",CONCATENATE(" + ",G3))&amp;"""}},"</f>
        <v xml:space="preserve">    "50":{"3":{"word":"ٱلتَّوۡرَىٰةَ","alt":"ٱلتَّوۡ&lt;span class='c4'&gt;ر۫ىٰ&lt;/span&gt;ةَ + ٱلتَّوۡرَىٰةَ"}},</v>
      </c>
      <c r="I3" s="8" t="s">
        <v>22</v>
      </c>
      <c r="J3" s="3" t="s">
        <v>13</v>
      </c>
    </row>
    <row r="4" spans="1:11" ht="158.25" thickBot="1" x14ac:dyDescent="0.9">
      <c r="A4" s="1">
        <v>51</v>
      </c>
      <c r="B4" s="1">
        <v>7</v>
      </c>
      <c r="C4" s="9" t="s">
        <v>6</v>
      </c>
      <c r="D4" s="7" t="s">
        <v>11</v>
      </c>
      <c r="E4" s="9" t="s">
        <v>6</v>
      </c>
      <c r="F4" s="2"/>
      <c r="G4" s="2"/>
      <c r="H4" s="1" t="str">
        <f t="shared" si="1"/>
        <v xml:space="preserve">    "51":{"7":{"word":"ٱلتَّوۡرَىٰةَ","alt":"ٱلتَّوۡ&lt;span class='c4'&gt;ر۫ىٰ&lt;/span&gt;ةَ + ٱلتَّوۡرَىٰةَ"}},</v>
      </c>
      <c r="I4" s="8" t="s">
        <v>23</v>
      </c>
      <c r="J4" s="3" t="s">
        <v>13</v>
      </c>
    </row>
    <row r="5" spans="1:11" ht="168.75" thickBot="1" x14ac:dyDescent="0.9">
      <c r="A5" s="10">
        <v>240</v>
      </c>
      <c r="B5" s="5">
        <v>43</v>
      </c>
      <c r="C5" s="11" t="s">
        <v>26</v>
      </c>
      <c r="D5" s="7" t="s">
        <v>12</v>
      </c>
      <c r="E5" s="2"/>
      <c r="F5" s="2"/>
      <c r="G5" s="2"/>
      <c r="H5" s="1" t="str">
        <f>"    "&amp;""""&amp;A5&amp;""":{"""&amp;B5&amp;""":{""word"":"""&amp;C5&amp;""",""alt"":"""&amp;D5&amp;IF(E5="","",CONCATENATE(" + ",E5))&amp;IF(F5="","",CONCATENATE(" + ",F5))&amp;IF(G5="","",CONCATENATE(" + ",G5))&amp;"""}},"</f>
        <v xml:space="preserve">    "240":{"43":{"word":"ٱلۡمَلَأُ اَؙفۡتُونِي","alt":"ٱلۡمَلَ&lt;span class='c7'&gt;أُ&lt;/span&gt;&lt;span class='c1'&gt; &lt;/span&gt;&lt;span class='c7'&gt;ا۬&lt;/span&gt;فۡتُونِي"}},</v>
      </c>
      <c r="I5" s="8" t="s">
        <v>24</v>
      </c>
      <c r="J5" s="3" t="s">
        <v>14</v>
      </c>
    </row>
    <row r="6" spans="1:11" x14ac:dyDescent="0.85">
      <c r="A6" s="12" t="s">
        <v>18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6" thickBot="1" x14ac:dyDescent="0.9">
      <c r="A7" s="13" t="s">
        <v>19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63.75" thickBot="1" x14ac:dyDescent="0.9">
      <c r="A8" s="1"/>
      <c r="B8" s="1"/>
      <c r="C8" s="6" t="s">
        <v>25</v>
      </c>
      <c r="D8" s="14"/>
      <c r="E8" s="15"/>
      <c r="F8" s="16" t="s">
        <v>27</v>
      </c>
      <c r="G8" s="1"/>
      <c r="H8" s="17" t="str">
        <f>""""&amp;B2&amp;""":{""word"":"""&amp;C2&amp;""",""alt"":"""&amp;D2&amp;IF(E2="","",CONCATENATE(" + ",E2))&amp;IF(F2="","",CONCATENATE(" + ",F2))&amp;IF(G2="","",CONCATENATE(" + ",G2))&amp;"""}}"</f>
        <v>"4":{"word":" مَلِــكِ","alt":" &lt;span class='c1'&gt;مَ&lt;/span&gt;لِــكِ"}}</v>
      </c>
    </row>
    <row r="9" spans="1:11" ht="32.25" thickBot="1" x14ac:dyDescent="0.9">
      <c r="C9" s="1" t="s">
        <v>28</v>
      </c>
    </row>
    <row r="10" spans="1:11" x14ac:dyDescent="0.85">
      <c r="C10" s="6" t="s">
        <v>29</v>
      </c>
      <c r="F10" s="16" t="s">
        <v>30</v>
      </c>
    </row>
    <row r="11" spans="1:11" x14ac:dyDescent="0.85">
      <c r="A11" s="10">
        <v>12</v>
      </c>
      <c r="B11" s="5">
        <v>43</v>
      </c>
      <c r="C11" s="6" t="s">
        <v>26</v>
      </c>
      <c r="F11" s="16" t="s">
        <v>31</v>
      </c>
    </row>
    <row r="13" spans="1:11" ht="63" x14ac:dyDescent="0.85">
      <c r="C13" s="7" t="s">
        <v>8</v>
      </c>
      <c r="F13" s="16" t="s">
        <v>32</v>
      </c>
    </row>
    <row r="14" spans="1:11" ht="48" x14ac:dyDescent="0.85">
      <c r="C14" s="7" t="s">
        <v>17</v>
      </c>
      <c r="D14" s="3" t="s">
        <v>8</v>
      </c>
    </row>
    <row r="15" spans="1:11" ht="51" x14ac:dyDescent="0.85">
      <c r="C15" s="18" t="s">
        <v>8</v>
      </c>
      <c r="D15" s="3" t="s">
        <v>16</v>
      </c>
    </row>
    <row r="16" spans="1:11" x14ac:dyDescent="0.85">
      <c r="C16" s="18" t="s">
        <v>6</v>
      </c>
      <c r="D16" s="3" t="s">
        <v>9</v>
      </c>
    </row>
    <row r="17" spans="3:3" ht="123" x14ac:dyDescent="0.85">
      <c r="C17" s="18" t="s">
        <v>9</v>
      </c>
    </row>
    <row r="18" spans="3:3" ht="51" x14ac:dyDescent="0.85">
      <c r="C18" s="18" t="s">
        <v>10</v>
      </c>
    </row>
    <row r="19" spans="3:3" ht="51" x14ac:dyDescent="0.85">
      <c r="C19" s="18" t="s">
        <v>11</v>
      </c>
    </row>
    <row r="20" spans="3:3" ht="123" x14ac:dyDescent="0.85">
      <c r="C20" s="18" t="s">
        <v>12</v>
      </c>
    </row>
  </sheetData>
  <mergeCells count="2">
    <mergeCell ref="A6:K6"/>
    <mergeCell ref="A7: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Nouari Abdelkabir</dc:creator>
  <cp:lastModifiedBy>Nouari Abdelkabir</cp:lastModifiedBy>
  <dcterms:created xsi:type="dcterms:W3CDTF">2026-06-26T11:49:44Z</dcterms:created>
  <dcterms:modified xsi:type="dcterms:W3CDTF">2026-06-28T17:37:27Z</dcterms:modified>
</cp:coreProperties>
</file>